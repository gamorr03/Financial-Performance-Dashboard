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xr:revisionPtr revIDLastSave="0" documentId="8_{A26775C3-BA1D-4452-AB84-41B62B4C9CE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Financial Data" sheetId="1" r:id="rId1"/>
    <sheet name="Dashboard" sheetId="2" r:id="rId2"/>
  </sheets>
  <calcPr calcId="191028"/>
  <pivotCaches>
    <pivotCache cacheId="935" r:id="rId3"/>
    <pivotCache cacheId="9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2" l="1"/>
  <c r="AB4" i="2"/>
  <c r="AB3" i="2"/>
  <c r="AB2" i="2"/>
  <c r="F4" i="2"/>
  <c r="J3" i="1"/>
  <c r="J4" i="1"/>
  <c r="J5" i="1"/>
  <c r="J6" i="1"/>
  <c r="J7" i="1"/>
  <c r="J8" i="1"/>
  <c r="J9" i="1"/>
  <c r="J10" i="1"/>
  <c r="J11" i="1"/>
  <c r="J12" i="1"/>
  <c r="J13" i="1"/>
  <c r="J2" i="1"/>
  <c r="F3" i="2"/>
  <c r="F2" i="2"/>
  <c r="I3" i="1"/>
  <c r="I4" i="1"/>
  <c r="I5" i="1"/>
  <c r="I6" i="1"/>
  <c r="I7" i="1"/>
  <c r="I8" i="1"/>
  <c r="I9" i="1"/>
  <c r="I10" i="1"/>
  <c r="I11" i="1"/>
  <c r="I12" i="1"/>
  <c r="I13" i="1"/>
  <c r="I2" i="1"/>
  <c r="H3" i="1"/>
  <c r="H4" i="1"/>
  <c r="H5" i="1"/>
  <c r="H6" i="1"/>
  <c r="H7" i="1"/>
  <c r="H8" i="1"/>
  <c r="H9" i="1"/>
  <c r="H10" i="1"/>
  <c r="H11" i="1"/>
  <c r="H12" i="1"/>
  <c r="H13" i="1"/>
  <c r="H2" i="1"/>
  <c r="B3" i="1"/>
  <c r="B4" i="1"/>
  <c r="B5" i="1"/>
  <c r="B6" i="1"/>
  <c r="B7" i="1"/>
  <c r="B8" i="1"/>
  <c r="B9" i="1"/>
  <c r="B10" i="1"/>
  <c r="B11" i="1"/>
  <c r="B12" i="1"/>
  <c r="B13" i="1"/>
  <c r="B2" i="1"/>
  <c r="A4" i="1"/>
  <c r="A5" i="1"/>
  <c r="A6" i="1"/>
  <c r="A7" i="1"/>
  <c r="A8" i="1"/>
  <c r="A9" i="1"/>
  <c r="A10" i="1"/>
  <c r="A11" i="1"/>
  <c r="A12" i="1"/>
  <c r="A13" i="1"/>
  <c r="A3" i="1"/>
  <c r="A2" i="1"/>
</calcChain>
</file>

<file path=xl/sharedStrings.xml><?xml version="1.0" encoding="utf-8"?>
<sst xmlns="http://schemas.openxmlformats.org/spreadsheetml/2006/main" count="26" uniqueCount="19">
  <si>
    <t>Month</t>
  </si>
  <si>
    <t>Quarter</t>
  </si>
  <si>
    <t>Revenue</t>
  </si>
  <si>
    <t>Marketing</t>
  </si>
  <si>
    <t>Payroll</t>
  </si>
  <si>
    <t>Rent</t>
  </si>
  <si>
    <t>Other Costs</t>
  </si>
  <si>
    <t>Total Expenses</t>
  </si>
  <si>
    <t>Profit</t>
  </si>
  <si>
    <t>Profit Margin</t>
  </si>
  <si>
    <t>Sum of Profit Margin</t>
  </si>
  <si>
    <t>Sum of Revenue</t>
  </si>
  <si>
    <t>Sum of Profit</t>
  </si>
  <si>
    <t>Expense Type</t>
  </si>
  <si>
    <t>Amount</t>
  </si>
  <si>
    <t>Total Revenue</t>
  </si>
  <si>
    <t>Total Profit</t>
  </si>
  <si>
    <t>Avg Profit Margin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</si>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</sst>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"/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2" borderId="1" xfId="0" applyFill="1" applyBorder="1"/>
    <xf numFmtId="165" fontId="1" fillId="2" borderId="1" xfId="0" applyNumberFormat="1" applyFont="1" applyFill="1" applyBorder="1"/>
    <xf numFmtId="10" fontId="1" fillId="2" borderId="1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Analyst Project.xlsx]Dashboard!PivotTable1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Profit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Dashboard!$X$1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Dashboard!$W$2:$W$14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Dashboard!$X$2:$X$14</c:f>
              <c:numCache>
                <c:formatCode>"$"#,##0.00</c:formatCode>
                <c:ptCount val="12"/>
                <c:pt idx="0">
                  <c:v>125000</c:v>
                </c:pt>
                <c:pt idx="1">
                  <c:v>130000</c:v>
                </c:pt>
                <c:pt idx="2">
                  <c:v>137800</c:v>
                </c:pt>
                <c:pt idx="3">
                  <c:v>133666</c:v>
                </c:pt>
                <c:pt idx="4">
                  <c:v>137675.98000000001</c:v>
                </c:pt>
                <c:pt idx="5">
                  <c:v>139052.73980000001</c:v>
                </c:pt>
                <c:pt idx="6">
                  <c:v>134881.15760599999</c:v>
                </c:pt>
                <c:pt idx="7">
                  <c:v>142974.02706235999</c:v>
                </c:pt>
                <c:pt idx="8">
                  <c:v>138684.8062504892</c:v>
                </c:pt>
                <c:pt idx="9">
                  <c:v>148392.74268802346</c:v>
                </c:pt>
                <c:pt idx="10">
                  <c:v>160264.16210306535</c:v>
                </c:pt>
                <c:pt idx="11">
                  <c:v>155456.23723997339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A-45D1-A514-C09D71DFC21A}"/>
            </c:ext>
          </c:extLst>
        </c:ser>
        <c:ser>
          <c:idx val="1"/>
          <c:order val="1"/>
          <c:tx>
            <c:strRef>
              <c:f>Dashboard!$Y$1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Dashboard!$W$2:$W$14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Dashboard!$Y$2:$Y$14</c:f>
              <c:numCache>
                <c:formatCode>"$"#,##0.00</c:formatCode>
                <c:ptCount val="12"/>
                <c:pt idx="0">
                  <c:v>42250</c:v>
                </c:pt>
                <c:pt idx="1">
                  <c:v>44050</c:v>
                </c:pt>
                <c:pt idx="2">
                  <c:v>50514</c:v>
                </c:pt>
                <c:pt idx="3">
                  <c:v>47491.100000000006</c:v>
                </c:pt>
                <c:pt idx="4">
                  <c:v>57648.862400000013</c:v>
                </c:pt>
                <c:pt idx="5">
                  <c:v>51254.511431999999</c:v>
                </c:pt>
                <c:pt idx="6">
                  <c:v>44655.516393279991</c:v>
                </c:pt>
                <c:pt idx="7">
                  <c:v>41218.272167758783</c:v>
                </c:pt>
                <c:pt idx="8">
                  <c:v>37378.265429110921</c:v>
                </c:pt>
                <c:pt idx="9">
                  <c:v>53131.407609909249</c:v>
                </c:pt>
                <c:pt idx="10">
                  <c:v>69476.852204781069</c:v>
                </c:pt>
                <c:pt idx="11">
                  <c:v>55744.141011661821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DA-45D1-A514-C09D71DFC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234632"/>
        <c:axId val="1251038216"/>
      </c:lineChart>
      <c:catAx>
        <c:axId val="43023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38216"/>
        <c:crosses val="autoZero"/>
        <c:auto val="1"/>
        <c:lblAlgn val="ctr"/>
        <c:lblOffset val="100"/>
        <c:noMultiLvlLbl val="0"/>
      </c:catAx>
      <c:valAx>
        <c:axId val="125103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23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Analyst Project.xlsx]Dashboard!PivotTable2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Margin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Dashboard!$U$1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Dashboard!$T$2:$T$14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Dashboard!$U$2:$U$14</c:f>
              <c:numCache>
                <c:formatCode>0.00%</c:formatCode>
                <c:ptCount val="12"/>
                <c:pt idx="0">
                  <c:v>0.33800000000000002</c:v>
                </c:pt>
                <c:pt idx="1">
                  <c:v>0.33884615384615385</c:v>
                </c:pt>
                <c:pt idx="2">
                  <c:v>0.36657474600870826</c:v>
                </c:pt>
                <c:pt idx="3">
                  <c:v>0.35529678452261609</c:v>
                </c:pt>
                <c:pt idx="4">
                  <c:v>0.41872854219014827</c:v>
                </c:pt>
                <c:pt idx="5">
                  <c:v>0.36859763788703137</c:v>
                </c:pt>
                <c:pt idx="6">
                  <c:v>0.33107305116495794</c:v>
                </c:pt>
                <c:pt idx="7">
                  <c:v>0.28829202768262863</c:v>
                </c:pt>
                <c:pt idx="8">
                  <c:v>0.26951954175570747</c:v>
                </c:pt>
                <c:pt idx="9">
                  <c:v>0.35804586294096041</c:v>
                </c:pt>
                <c:pt idx="10">
                  <c:v>0.43351458799691434</c:v>
                </c:pt>
                <c:pt idx="11">
                  <c:v>0.35858413918517257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C-4D91-A762-FF8EF0C4D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757511"/>
        <c:axId val="754287112"/>
      </c:lineChart>
      <c:catAx>
        <c:axId val="1508757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287112"/>
        <c:crosses val="autoZero"/>
        <c:auto val="1"/>
        <c:lblAlgn val="ctr"/>
        <c:lblOffset val="100"/>
        <c:noMultiLvlLbl val="0"/>
      </c:catAx>
      <c:valAx>
        <c:axId val="754287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5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Dashboard!$AB$1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44-4645-A728-597EF1D6CB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44-4645-A728-597EF1D6CB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44-4645-A728-597EF1D6CB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44-4645-A728-597EF1D6CB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Dashboard!$AA$2:$AA$5</c:f>
              <c:strCache>
                <c:ptCount val="4"/>
                <c:pt idx="0">
                  <c:v>Marketing</c:v>
                </c:pt>
                <c:pt idx="1">
                  <c:v>Payroll</c:v>
                </c:pt>
                <c:pt idx="2">
                  <c:v>Rent</c:v>
                </c:pt>
                <c:pt idx="3">
                  <c:v>Other Costs</c:v>
                </c:pt>
              </c:strCache>
            </c:strRef>
          </c:cat>
          <c:val>
            <c:numRef>
              <c:f>Dashboard!$AB$2:$AB$5</c:f>
              <c:numCache>
                <c:formatCode>"$"#,##0.00</c:formatCode>
                <c:ptCount val="4"/>
                <c:pt idx="0">
                  <c:v>155674.98272085356</c:v>
                </c:pt>
                <c:pt idx="1">
                  <c:v>537000</c:v>
                </c:pt>
                <c:pt idx="2">
                  <c:v>144000</c:v>
                </c:pt>
                <c:pt idx="3">
                  <c:v>252359.94138055597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6-4A71-B824-732F34F34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4</xdr:row>
      <xdr:rowOff>161925</xdr:rowOff>
    </xdr:from>
    <xdr:to>
      <xdr:col>10</xdr:col>
      <xdr:colOff>390525</xdr:colOff>
      <xdr:row>24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C2663-6509-7EAD-0E97-1E19AA18F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866775</xdr:colOff>
      <xdr:row>24</xdr:row>
      <xdr:rowOff>142875</xdr:rowOff>
    </xdr:from>
    <xdr:to>
      <xdr:col>4</xdr:col>
      <xdr:colOff>1228725</xdr:colOff>
      <xdr:row>36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1FE39A-9456-C5E7-25EA-29D37A799071}"/>
            </a:ext>
            <a:ext uri="{147F2762-F138-4A5C-976F-8EAC2B608ADB}">
              <a16:predDERef xmlns:a16="http://schemas.microsoft.com/office/drawing/2014/main" pred="{B04C2663-6509-7EAD-0E97-1E19AA18F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123825</xdr:colOff>
      <xdr:row>25</xdr:row>
      <xdr:rowOff>9525</xdr:rowOff>
    </xdr:from>
    <xdr:to>
      <xdr:col>11</xdr:col>
      <xdr:colOff>361950</xdr:colOff>
      <xdr:row>36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C07995-7A3D-9526-81B4-5331181C8A76}"/>
            </a:ext>
            <a:ext uri="{147F2762-F138-4A5C-976F-8EAC2B608ADB}">
              <a16:predDERef xmlns:a16="http://schemas.microsoft.com/office/drawing/2014/main" pred="{7B1FE39A-9456-C5E7-25EA-29D37A799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409575</xdr:colOff>
      <xdr:row>38</xdr:row>
      <xdr:rowOff>47625</xdr:rowOff>
    </xdr:from>
    <xdr:to>
      <xdr:col>7</xdr:col>
      <xdr:colOff>523875</xdr:colOff>
      <xdr:row>44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2091B6-1A2F-C264-6429-91B9667F977D}"/>
            </a:ext>
            <a:ext uri="{147F2762-F138-4A5C-976F-8EAC2B608ADB}">
              <a16:predDERef xmlns:a16="http://schemas.microsoft.com/office/drawing/2014/main" pred="{EEC07995-7A3D-9526-81B4-5331181C8A76}"/>
            </a:ext>
          </a:extLst>
        </xdr:cNvPr>
        <xdr:cNvSpPr txBox="1"/>
      </xdr:nvSpPr>
      <xdr:spPr>
        <a:xfrm>
          <a:off x="4133850" y="7915275"/>
          <a:ext cx="5095875" cy="127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Key Findings: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 Revenue steadily increased throughout the year.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 Profit margin averaged 35%, staying in that range consistently.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 Payroll increased in Q3.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 Marketing investment grew as revenue increased.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2.627915625002" createdVersion="8" refreshedVersion="8" minRefreshableVersion="3" recordCount="12" xr:uid="{C3A82288-772C-4ABA-96FD-CFD8262C2544}">
  <cacheSource type="worksheet">
    <worksheetSource ref="A1:I13" sheet="Financial Data"/>
  </cacheSource>
  <cacheFields count="9">
    <cacheField name="Month" numFmtId="16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Quarter" numFmtId="0">
      <sharedItems/>
    </cacheField>
    <cacheField name="Revenue" numFmtId="165">
      <sharedItems containsSemiMixedTypes="0" containsString="0" containsNumber="1" minValue="125000" maxValue="160264.16210306535"/>
    </cacheField>
    <cacheField name="Marketing" numFmtId="165">
      <sharedItems containsSemiMixedTypes="0" containsString="0" containsNumber="1" minValue="6250" maxValue="19616.971821300001"/>
    </cacheField>
    <cacheField name="Payroll" numFmtId="165">
      <sharedItems containsSemiMixedTypes="0" containsString="0" containsNumber="1" containsInteger="1" minValue="42000" maxValue="47500"/>
    </cacheField>
    <cacheField name="Rent" numFmtId="165">
      <sharedItems containsSemiMixedTypes="0" containsString="0" containsNumber="1" containsInteger="1" minValue="12000" maxValue="12000"/>
    </cacheField>
    <cacheField name="Other Costs" numFmtId="165">
      <sharedItems containsSemiMixedTypes="0" containsString="0" containsNumber="1" minValue="16185.738912719999" maxValue="27982.122703195208"/>
    </cacheField>
    <cacheField name="Total Expenses" numFmtId="165">
      <sharedItems containsSemiMixedTypes="0" containsString="0" containsNumber="1" minValue="80027.117599999998" maxValue="101755.75489460121"/>
    </cacheField>
    <cacheField name="Profit" numFmtId="165">
      <sharedItems containsSemiMixedTypes="0" containsString="0" containsNumber="1" minValue="37378.265429110921" maxValue="69476.8522047810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2.684206018515" createdVersion="8" refreshedVersion="8" minRefreshableVersion="3" recordCount="12" xr:uid="{A08841C5-566E-4071-BB56-51D1A5D87E85}">
  <cacheSource type="worksheet">
    <worksheetSource ref="A1:J13" sheet="Financial Data"/>
  </cacheSource>
  <cacheFields count="10">
    <cacheField name="Month" numFmtId="16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Quarter" numFmtId="0">
      <sharedItems/>
    </cacheField>
    <cacheField name="Revenue" numFmtId="165">
      <sharedItems containsSemiMixedTypes="0" containsString="0" containsNumber="1" minValue="125000" maxValue="160264.16210306535"/>
    </cacheField>
    <cacheField name="Marketing" numFmtId="165">
      <sharedItems containsSemiMixedTypes="0" containsString="0" containsNumber="1" minValue="6250" maxValue="19616.971821300001"/>
    </cacheField>
    <cacheField name="Payroll" numFmtId="165">
      <sharedItems containsSemiMixedTypes="0" containsString="0" containsNumber="1" containsInteger="1" minValue="42000" maxValue="47500"/>
    </cacheField>
    <cacheField name="Rent" numFmtId="165">
      <sharedItems containsSemiMixedTypes="0" containsString="0" containsNumber="1" containsInteger="1" minValue="12000" maxValue="12000"/>
    </cacheField>
    <cacheField name="Other Costs" numFmtId="165">
      <sharedItems containsSemiMixedTypes="0" containsString="0" containsNumber="1" minValue="16185.738912719999" maxValue="27982.122703195208"/>
    </cacheField>
    <cacheField name="Total Expenses" numFmtId="165">
      <sharedItems containsSemiMixedTypes="0" containsString="0" containsNumber="1" minValue="80027.117599999998" maxValue="101755.75489460121"/>
    </cacheField>
    <cacheField name="Profit" numFmtId="165">
      <sharedItems containsSemiMixedTypes="0" containsString="0" containsNumber="1" minValue="37378.265429110921" maxValue="69476.852204781069"/>
    </cacheField>
    <cacheField name="Profit Margin" numFmtId="10">
      <sharedItems containsSemiMixedTypes="0" containsString="0" containsNumber="1" minValue="0.26951954175570747" maxValue="0.433514587996914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Q1"/>
    <n v="125000"/>
    <n v="6250"/>
    <n v="42000"/>
    <n v="12000"/>
    <n v="22500"/>
    <n v="82750"/>
    <n v="42250"/>
  </r>
  <r>
    <x v="1"/>
    <s v="Q1"/>
    <n v="130000"/>
    <n v="13750"/>
    <n v="42000"/>
    <n v="12000"/>
    <n v="18200"/>
    <n v="85950"/>
    <n v="44050"/>
  </r>
  <r>
    <x v="2"/>
    <s v="Q1"/>
    <n v="137800"/>
    <n v="13750"/>
    <n v="42000"/>
    <n v="12000"/>
    <n v="19536"/>
    <n v="87286"/>
    <n v="50514"/>
  </r>
  <r>
    <x v="3"/>
    <s v="Q2"/>
    <n v="133666"/>
    <n v="12125"/>
    <n v="42000"/>
    <n v="12000"/>
    <n v="20049.899999999998"/>
    <n v="86174.9"/>
    <n v="47491.100000000006"/>
  </r>
  <r>
    <x v="4"/>
    <s v="Q2"/>
    <n v="137675.98000000001"/>
    <n v="9506"/>
    <n v="42000"/>
    <n v="12000"/>
    <n v="16521.117600000001"/>
    <n v="80027.117599999998"/>
    <n v="57648.862400000013"/>
  </r>
  <r>
    <x v="5"/>
    <s v="Q2"/>
    <n v="139052.73980000001"/>
    <n v="11549.79"/>
    <n v="42000"/>
    <n v="12000"/>
    <n v="22248.438368000003"/>
    <n v="87798.228368000011"/>
    <n v="51254.511431999999"/>
  </r>
  <r>
    <x v="6"/>
    <s v="Q3"/>
    <n v="134881.15760599999"/>
    <n v="14539.902300000003"/>
    <n v="47500"/>
    <n v="12000"/>
    <n v="16185.738912719999"/>
    <n v="90225.641212720002"/>
    <n v="44655.516393279991"/>
  </r>
  <r>
    <x v="7"/>
    <s v="Q3"/>
    <n v="142974.02706235999"/>
    <n v="17950.170294000003"/>
    <n v="47500"/>
    <n v="12000"/>
    <n v="24305.5846006012"/>
    <n v="101755.75489460121"/>
    <n v="41218.272167758783"/>
  </r>
  <r>
    <x v="8"/>
    <s v="Q3"/>
    <n v="138684.8062504892"/>
    <n v="19616.971821300001"/>
    <n v="47500"/>
    <n v="12000"/>
    <n v="22189.569000078274"/>
    <n v="101306.54082137828"/>
    <n v="37378.265429110921"/>
  </r>
  <r>
    <x v="9"/>
    <s v="Q4"/>
    <n v="148392.74268802346"/>
    <n v="13954.205955551401"/>
    <n v="47500"/>
    <n v="12000"/>
    <n v="21807.129122562801"/>
    <n v="95261.335078114207"/>
    <n v="53131.407609909249"/>
  </r>
  <r>
    <x v="10"/>
    <s v="Q4"/>
    <n v="160264.16210306535"/>
    <n v="10452.968824885776"/>
    <n v="47500"/>
    <n v="12000"/>
    <n v="20834.341073398497"/>
    <n v="90787.309898284278"/>
    <n v="69476.852204781069"/>
  </r>
  <r>
    <x v="11"/>
    <s v="Q4"/>
    <n v="155456.23723997339"/>
    <n v="12229.973525116358"/>
    <n v="47500"/>
    <n v="12000"/>
    <n v="27982.122703195208"/>
    <n v="99712.096228311566"/>
    <n v="55744.1410116618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Q1"/>
    <n v="125000"/>
    <n v="6250"/>
    <n v="42000"/>
    <n v="12000"/>
    <n v="22500"/>
    <n v="82750"/>
    <n v="42250"/>
    <n v="0.33800000000000002"/>
  </r>
  <r>
    <x v="1"/>
    <s v="Q1"/>
    <n v="130000"/>
    <n v="13750"/>
    <n v="42000"/>
    <n v="12000"/>
    <n v="18200"/>
    <n v="85950"/>
    <n v="44050"/>
    <n v="0.33884615384615385"/>
  </r>
  <r>
    <x v="2"/>
    <s v="Q1"/>
    <n v="137800"/>
    <n v="13750"/>
    <n v="42000"/>
    <n v="12000"/>
    <n v="19536"/>
    <n v="87286"/>
    <n v="50514"/>
    <n v="0.36657474600870826"/>
  </r>
  <r>
    <x v="3"/>
    <s v="Q2"/>
    <n v="133666"/>
    <n v="12125"/>
    <n v="42000"/>
    <n v="12000"/>
    <n v="20049.899999999998"/>
    <n v="86174.9"/>
    <n v="47491.100000000006"/>
    <n v="0.35529678452261609"/>
  </r>
  <r>
    <x v="4"/>
    <s v="Q2"/>
    <n v="137675.98000000001"/>
    <n v="9506"/>
    <n v="42000"/>
    <n v="12000"/>
    <n v="16521.117600000001"/>
    <n v="80027.117599999998"/>
    <n v="57648.862400000013"/>
    <n v="0.41872854219014827"/>
  </r>
  <r>
    <x v="5"/>
    <s v="Q2"/>
    <n v="139052.73980000001"/>
    <n v="11549.79"/>
    <n v="42000"/>
    <n v="12000"/>
    <n v="22248.438368000003"/>
    <n v="87798.228368000011"/>
    <n v="51254.511431999999"/>
    <n v="0.36859763788703137"/>
  </r>
  <r>
    <x v="6"/>
    <s v="Q3"/>
    <n v="134881.15760599999"/>
    <n v="14539.902300000003"/>
    <n v="47500"/>
    <n v="12000"/>
    <n v="16185.738912719999"/>
    <n v="90225.641212720002"/>
    <n v="44655.516393279991"/>
    <n v="0.33107305116495794"/>
  </r>
  <r>
    <x v="7"/>
    <s v="Q3"/>
    <n v="142974.02706235999"/>
    <n v="17950.170294000003"/>
    <n v="47500"/>
    <n v="12000"/>
    <n v="24305.5846006012"/>
    <n v="101755.75489460121"/>
    <n v="41218.272167758783"/>
    <n v="0.28829202768262863"/>
  </r>
  <r>
    <x v="8"/>
    <s v="Q3"/>
    <n v="138684.8062504892"/>
    <n v="19616.971821300001"/>
    <n v="47500"/>
    <n v="12000"/>
    <n v="22189.569000078274"/>
    <n v="101306.54082137828"/>
    <n v="37378.265429110921"/>
    <n v="0.26951954175570747"/>
  </r>
  <r>
    <x v="9"/>
    <s v="Q4"/>
    <n v="148392.74268802346"/>
    <n v="13954.205955551401"/>
    <n v="47500"/>
    <n v="12000"/>
    <n v="21807.129122562801"/>
    <n v="95261.335078114207"/>
    <n v="53131.407609909249"/>
    <n v="0.35804586294096041"/>
  </r>
  <r>
    <x v="10"/>
    <s v="Q4"/>
    <n v="160264.16210306535"/>
    <n v="10452.968824885776"/>
    <n v="47500"/>
    <n v="12000"/>
    <n v="20834.341073398497"/>
    <n v="90787.309898284278"/>
    <n v="69476.852204781069"/>
    <n v="0.43351458799691434"/>
  </r>
  <r>
    <x v="11"/>
    <s v="Q4"/>
    <n v="155456.23723997339"/>
    <n v="12229.973525116358"/>
    <n v="47500"/>
    <n v="12000"/>
    <n v="27982.122703195208"/>
    <n v="99712.096228311566"/>
    <n v="55744.141011661821"/>
    <n v="0.358584139185172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983A2-86F0-4633-8882-90DC937DAC1A}" name="PivotTable2" cacheId="9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T1:U14" firstHeaderRow="1" firstDataRow="1" firstDataCol="1"/>
  <pivotFields count="10">
    <pivotField axis="axisRow" compact="0" numFmtId="164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 Margin" fld="9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97FFA-14C4-4B1E-8E2B-FC31EEF39B13}" name="PivotTable1" cacheId="9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W1:Y14" firstHeaderRow="0" firstDataRow="1" firstDataCol="1"/>
  <pivotFields count="9">
    <pivotField axis="axisRow" compact="0" numFmtId="164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dataField="1"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" baseField="0" baseItem="0" numFmtId="165"/>
    <dataField name="Sum of Profit" fld="8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B7" sqref="B7"/>
    </sheetView>
  </sheetViews>
  <sheetFormatPr defaultRowHeight="15"/>
  <cols>
    <col min="1" max="1" width="10.42578125" bestFit="1" customWidth="1"/>
    <col min="3" max="3" width="12" bestFit="1" customWidth="1"/>
    <col min="4" max="6" width="10.85546875" bestFit="1" customWidth="1"/>
    <col min="7" max="7" width="11.42578125" bestFit="1" customWidth="1"/>
    <col min="8" max="8" width="14.28515625" bestFit="1" customWidth="1"/>
    <col min="9" max="9" width="10.85546875" bestFit="1" customWidth="1"/>
    <col min="10" max="10" width="12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f>DATE(2025,1,1)</f>
        <v>45658</v>
      </c>
      <c r="B2" t="str">
        <f>"Q"&amp;ROUNDUP(MONTH(A2)/3,0)</f>
        <v>Q1</v>
      </c>
      <c r="C2" s="2">
        <v>125000</v>
      </c>
      <c r="D2" s="2">
        <v>6250</v>
      </c>
      <c r="E2" s="2">
        <v>42000</v>
      </c>
      <c r="F2" s="2">
        <v>12000</v>
      </c>
      <c r="G2" s="2">
        <v>22500</v>
      </c>
      <c r="H2" s="2">
        <f>SUM(D2:G2)</f>
        <v>82750</v>
      </c>
      <c r="I2" s="2">
        <f>C2-H2</f>
        <v>42250</v>
      </c>
      <c r="J2" s="4">
        <f>I2/C2</f>
        <v>0.33800000000000002</v>
      </c>
    </row>
    <row r="3" spans="1:10">
      <c r="A3" s="1">
        <f>EDATE(A2,1)</f>
        <v>45689</v>
      </c>
      <c r="B3" t="str">
        <f t="shared" ref="B3:B13" si="0">"Q"&amp;ROUNDUP(MONTH(A3)/3,0)</f>
        <v>Q1</v>
      </c>
      <c r="C3" s="2">
        <v>130000</v>
      </c>
      <c r="D3" s="2">
        <v>13750</v>
      </c>
      <c r="E3" s="2">
        <v>42000</v>
      </c>
      <c r="F3" s="2">
        <v>12000</v>
      </c>
      <c r="G3" s="2">
        <v>18200</v>
      </c>
      <c r="H3" s="2">
        <f t="shared" ref="H3:H13" si="1">SUM(D3:G3)</f>
        <v>85950</v>
      </c>
      <c r="I3" s="2">
        <f t="shared" ref="I3:I13" si="2">C3-H3</f>
        <v>44050</v>
      </c>
      <c r="J3" s="4">
        <f t="shared" ref="J3:J13" si="3">I3/C3</f>
        <v>0.33884615384615385</v>
      </c>
    </row>
    <row r="4" spans="1:10">
      <c r="A4" s="1">
        <f t="shared" ref="A4:A13" si="4">EDATE(A3,1)</f>
        <v>45717</v>
      </c>
      <c r="B4" t="str">
        <f t="shared" si="0"/>
        <v>Q1</v>
      </c>
      <c r="C4" s="2">
        <v>137800</v>
      </c>
      <c r="D4" s="2">
        <v>13750</v>
      </c>
      <c r="E4" s="2">
        <v>42000</v>
      </c>
      <c r="F4" s="2">
        <v>12000</v>
      </c>
      <c r="G4" s="2">
        <v>19536</v>
      </c>
      <c r="H4" s="2">
        <f t="shared" si="1"/>
        <v>87286</v>
      </c>
      <c r="I4" s="2">
        <f t="shared" si="2"/>
        <v>50514</v>
      </c>
      <c r="J4" s="4">
        <f t="shared" si="3"/>
        <v>0.36657474600870826</v>
      </c>
    </row>
    <row r="5" spans="1:10">
      <c r="A5" s="1">
        <f t="shared" si="4"/>
        <v>45748</v>
      </c>
      <c r="B5" t="str">
        <f t="shared" si="0"/>
        <v>Q2</v>
      </c>
      <c r="C5" s="2">
        <v>133666</v>
      </c>
      <c r="D5" s="2">
        <v>12125</v>
      </c>
      <c r="E5" s="2">
        <v>42000</v>
      </c>
      <c r="F5" s="2">
        <v>12000</v>
      </c>
      <c r="G5" s="2">
        <v>20049.899999999998</v>
      </c>
      <c r="H5" s="2">
        <f t="shared" si="1"/>
        <v>86174.9</v>
      </c>
      <c r="I5" s="2">
        <f t="shared" si="2"/>
        <v>47491.100000000006</v>
      </c>
      <c r="J5" s="4">
        <f t="shared" si="3"/>
        <v>0.35529678452261609</v>
      </c>
    </row>
    <row r="6" spans="1:10">
      <c r="A6" s="1">
        <f t="shared" si="4"/>
        <v>45778</v>
      </c>
      <c r="B6" t="str">
        <f t="shared" si="0"/>
        <v>Q2</v>
      </c>
      <c r="C6" s="2">
        <v>137675.98000000001</v>
      </c>
      <c r="D6" s="2">
        <v>9506</v>
      </c>
      <c r="E6" s="2">
        <v>42000</v>
      </c>
      <c r="F6" s="2">
        <v>12000</v>
      </c>
      <c r="G6" s="2">
        <v>16521.117600000001</v>
      </c>
      <c r="H6" s="2">
        <f t="shared" si="1"/>
        <v>80027.117599999998</v>
      </c>
      <c r="I6" s="2">
        <f t="shared" si="2"/>
        <v>57648.862400000013</v>
      </c>
      <c r="J6" s="4">
        <f t="shared" si="3"/>
        <v>0.41872854219014827</v>
      </c>
    </row>
    <row r="7" spans="1:10">
      <c r="A7" s="1">
        <f t="shared" si="4"/>
        <v>45809</v>
      </c>
      <c r="B7" t="str">
        <f t="shared" si="0"/>
        <v>Q2</v>
      </c>
      <c r="C7" s="2">
        <v>139052.73980000001</v>
      </c>
      <c r="D7" s="2">
        <v>11549.79</v>
      </c>
      <c r="E7" s="2">
        <v>42000</v>
      </c>
      <c r="F7" s="2">
        <v>12000</v>
      </c>
      <c r="G7" s="2">
        <v>22248.438368000003</v>
      </c>
      <c r="H7" s="2">
        <f t="shared" si="1"/>
        <v>87798.228368000011</v>
      </c>
      <c r="I7" s="2">
        <f t="shared" si="2"/>
        <v>51254.511431999999</v>
      </c>
      <c r="J7" s="4">
        <f t="shared" si="3"/>
        <v>0.36859763788703137</v>
      </c>
    </row>
    <row r="8" spans="1:10">
      <c r="A8" s="1">
        <f t="shared" si="4"/>
        <v>45839</v>
      </c>
      <c r="B8" t="str">
        <f t="shared" si="0"/>
        <v>Q3</v>
      </c>
      <c r="C8" s="2">
        <v>134881.15760599999</v>
      </c>
      <c r="D8" s="2">
        <v>14539.902300000003</v>
      </c>
      <c r="E8" s="2">
        <v>47500</v>
      </c>
      <c r="F8" s="2">
        <v>12000</v>
      </c>
      <c r="G8" s="2">
        <v>16185.738912719999</v>
      </c>
      <c r="H8" s="2">
        <f t="shared" si="1"/>
        <v>90225.641212720002</v>
      </c>
      <c r="I8" s="2">
        <f t="shared" si="2"/>
        <v>44655.516393279991</v>
      </c>
      <c r="J8" s="4">
        <f t="shared" si="3"/>
        <v>0.33107305116495794</v>
      </c>
    </row>
    <row r="9" spans="1:10">
      <c r="A9" s="1">
        <f t="shared" si="4"/>
        <v>45870</v>
      </c>
      <c r="B9" t="str">
        <f t="shared" si="0"/>
        <v>Q3</v>
      </c>
      <c r="C9" s="2">
        <v>142974.02706235999</v>
      </c>
      <c r="D9" s="2">
        <v>17950.170294000003</v>
      </c>
      <c r="E9" s="2">
        <v>47500</v>
      </c>
      <c r="F9" s="2">
        <v>12000</v>
      </c>
      <c r="G9" s="2">
        <v>24305.5846006012</v>
      </c>
      <c r="H9" s="2">
        <f t="shared" si="1"/>
        <v>101755.75489460121</v>
      </c>
      <c r="I9" s="2">
        <f t="shared" si="2"/>
        <v>41218.272167758783</v>
      </c>
      <c r="J9" s="4">
        <f t="shared" si="3"/>
        <v>0.28829202768262863</v>
      </c>
    </row>
    <row r="10" spans="1:10">
      <c r="A10" s="1">
        <f t="shared" si="4"/>
        <v>45901</v>
      </c>
      <c r="B10" t="str">
        <f t="shared" si="0"/>
        <v>Q3</v>
      </c>
      <c r="C10" s="2">
        <v>138684.8062504892</v>
      </c>
      <c r="D10" s="2">
        <v>19616.971821300001</v>
      </c>
      <c r="E10" s="2">
        <v>47500</v>
      </c>
      <c r="F10" s="2">
        <v>12000</v>
      </c>
      <c r="G10" s="2">
        <v>22189.569000078274</v>
      </c>
      <c r="H10" s="2">
        <f t="shared" si="1"/>
        <v>101306.54082137828</v>
      </c>
      <c r="I10" s="2">
        <f t="shared" si="2"/>
        <v>37378.265429110921</v>
      </c>
      <c r="J10" s="4">
        <f t="shared" si="3"/>
        <v>0.26951954175570747</v>
      </c>
    </row>
    <row r="11" spans="1:10">
      <c r="A11" s="1">
        <f t="shared" si="4"/>
        <v>45931</v>
      </c>
      <c r="B11" t="str">
        <f t="shared" si="0"/>
        <v>Q4</v>
      </c>
      <c r="C11" s="2">
        <v>148392.74268802346</v>
      </c>
      <c r="D11" s="2">
        <v>13954.205955551401</v>
      </c>
      <c r="E11" s="2">
        <v>47500</v>
      </c>
      <c r="F11" s="2">
        <v>12000</v>
      </c>
      <c r="G11" s="2">
        <v>21807.129122562801</v>
      </c>
      <c r="H11" s="2">
        <f t="shared" si="1"/>
        <v>95261.335078114207</v>
      </c>
      <c r="I11" s="2">
        <f t="shared" si="2"/>
        <v>53131.407609909249</v>
      </c>
      <c r="J11" s="4">
        <f t="shared" si="3"/>
        <v>0.35804586294096041</v>
      </c>
    </row>
    <row r="12" spans="1:10">
      <c r="A12" s="1">
        <f t="shared" si="4"/>
        <v>45962</v>
      </c>
      <c r="B12" t="str">
        <f t="shared" si="0"/>
        <v>Q4</v>
      </c>
      <c r="C12" s="2">
        <v>160264.16210306535</v>
      </c>
      <c r="D12" s="2">
        <v>10452.968824885776</v>
      </c>
      <c r="E12" s="2">
        <v>47500</v>
      </c>
      <c r="F12" s="2">
        <v>12000</v>
      </c>
      <c r="G12" s="2">
        <v>20834.341073398497</v>
      </c>
      <c r="H12" s="2">
        <f t="shared" si="1"/>
        <v>90787.309898284278</v>
      </c>
      <c r="I12" s="2">
        <f t="shared" si="2"/>
        <v>69476.852204781069</v>
      </c>
      <c r="J12" s="4">
        <f t="shared" si="3"/>
        <v>0.43351458799691434</v>
      </c>
    </row>
    <row r="13" spans="1:10">
      <c r="A13" s="1">
        <f t="shared" si="4"/>
        <v>45992</v>
      </c>
      <c r="B13" t="str">
        <f t="shared" si="0"/>
        <v>Q4</v>
      </c>
      <c r="C13" s="2">
        <v>155456.23723997339</v>
      </c>
      <c r="D13" s="2">
        <v>12229.973525116358</v>
      </c>
      <c r="E13" s="2">
        <v>47500</v>
      </c>
      <c r="F13" s="2">
        <v>12000</v>
      </c>
      <c r="G13" s="2">
        <v>27982.122703195208</v>
      </c>
      <c r="H13" s="2">
        <f t="shared" si="1"/>
        <v>99712.096228311566</v>
      </c>
      <c r="I13" s="2">
        <f t="shared" si="2"/>
        <v>55744.141011661821</v>
      </c>
      <c r="J13" s="4">
        <f t="shared" si="3"/>
        <v>0.35858413918517257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705B-B86D-4A29-8254-FF475D0BE762}">
  <dimension ref="E1:AB14"/>
  <sheetViews>
    <sheetView tabSelected="1" topLeftCell="B39" workbookViewId="0">
      <selection activeCell="I42" sqref="I42"/>
    </sheetView>
  </sheetViews>
  <sheetFormatPr defaultRowHeight="15"/>
  <cols>
    <col min="1" max="1" width="11.7109375" bestFit="1" customWidth="1"/>
    <col min="2" max="2" width="15.7109375" bestFit="1" customWidth="1"/>
    <col min="3" max="3" width="28.42578125" bestFit="1" customWidth="1"/>
    <col min="4" max="5" width="18.5703125" bestFit="1" customWidth="1"/>
    <col min="6" max="6" width="28.42578125" bestFit="1" customWidth="1"/>
    <col min="21" max="21" width="20" bestFit="1" customWidth="1"/>
    <col min="24" max="24" width="15.7109375" bestFit="1" customWidth="1"/>
    <col min="25" max="25" width="12.85546875" bestFit="1" customWidth="1"/>
    <col min="28" max="28" width="12" bestFit="1" customWidth="1"/>
  </cols>
  <sheetData>
    <row r="1" spans="5:28">
      <c r="T1" s="3" t="s">
        <v>0</v>
      </c>
      <c r="U1" t="s">
        <v>10</v>
      </c>
      <c r="W1" s="3" t="s">
        <v>0</v>
      </c>
      <c r="X1" t="s">
        <v>11</v>
      </c>
      <c r="Y1" t="s">
        <v>12</v>
      </c>
      <c r="AA1" s="8" t="s">
        <v>13</v>
      </c>
      <c r="AB1" s="8" t="s">
        <v>14</v>
      </c>
    </row>
    <row r="2" spans="5:28" ht="31.5">
      <c r="E2" s="5" t="s">
        <v>15</v>
      </c>
      <c r="F2" s="6">
        <f>SUM('Financial Data'!C2:C13)</f>
        <v>1683847.8527499114</v>
      </c>
      <c r="T2" s="1">
        <v>45658</v>
      </c>
      <c r="U2" s="4">
        <v>0.33800000000000002</v>
      </c>
      <c r="W2" s="1">
        <v>45658</v>
      </c>
      <c r="X2" s="2">
        <v>125000</v>
      </c>
      <c r="Y2" s="2">
        <v>42250</v>
      </c>
      <c r="AA2" t="s">
        <v>3</v>
      </c>
      <c r="AB2" s="2">
        <f>SUM('Financial Data'!D2:D13)</f>
        <v>155674.98272085356</v>
      </c>
    </row>
    <row r="3" spans="5:28" ht="31.5">
      <c r="E3" s="5" t="s">
        <v>16</v>
      </c>
      <c r="F3" s="6">
        <f>SUM('Financial Data'!I2:I13)</f>
        <v>594812.92864850187</v>
      </c>
      <c r="T3" s="1">
        <v>45689</v>
      </c>
      <c r="U3" s="4">
        <v>0.33884615384615385</v>
      </c>
      <c r="W3" s="1">
        <v>45689</v>
      </c>
      <c r="X3" s="2">
        <v>130000</v>
      </c>
      <c r="Y3" s="2">
        <v>44050</v>
      </c>
      <c r="AA3" t="s">
        <v>4</v>
      </c>
      <c r="AB3" s="2">
        <f>SUM('Financial Data'!E2:E13)</f>
        <v>537000</v>
      </c>
    </row>
    <row r="4" spans="5:28" ht="31.5">
      <c r="E4" s="5" t="s">
        <v>17</v>
      </c>
      <c r="F4" s="7">
        <f>AVERAGE('Financial Data'!J2:J13)</f>
        <v>0.35208942293174994</v>
      </c>
      <c r="T4" s="1">
        <v>45717</v>
      </c>
      <c r="U4" s="4">
        <v>0.36657474600870826</v>
      </c>
      <c r="W4" s="1">
        <v>45717</v>
      </c>
      <c r="X4" s="2">
        <v>137800</v>
      </c>
      <c r="Y4" s="2">
        <v>50514</v>
      </c>
      <c r="AA4" t="s">
        <v>5</v>
      </c>
      <c r="AB4" s="2">
        <f>SUM('Financial Data'!F2:F13)</f>
        <v>144000</v>
      </c>
    </row>
    <row r="5" spans="5:28">
      <c r="T5" s="1">
        <v>45748</v>
      </c>
      <c r="U5" s="4">
        <v>0.35529678452261609</v>
      </c>
      <c r="W5" s="1">
        <v>45748</v>
      </c>
      <c r="X5" s="2">
        <v>133666</v>
      </c>
      <c r="Y5" s="2">
        <v>47491.100000000006</v>
      </c>
      <c r="AA5" t="s">
        <v>6</v>
      </c>
      <c r="AB5" s="2">
        <f>SUM('Financial Data'!G2:G13)</f>
        <v>252359.94138055597</v>
      </c>
    </row>
    <row r="6" spans="5:28">
      <c r="T6" s="1">
        <v>45778</v>
      </c>
      <c r="U6" s="4">
        <v>0.41872854219014827</v>
      </c>
      <c r="W6" s="1">
        <v>45778</v>
      </c>
      <c r="X6" s="2">
        <v>137675.98000000001</v>
      </c>
      <c r="Y6" s="2">
        <v>57648.862400000013</v>
      </c>
    </row>
    <row r="7" spans="5:28">
      <c r="T7" s="1">
        <v>45809</v>
      </c>
      <c r="U7" s="4">
        <v>0.36859763788703137</v>
      </c>
      <c r="W7" s="1">
        <v>45809</v>
      </c>
      <c r="X7" s="2">
        <v>139052.73980000001</v>
      </c>
      <c r="Y7" s="2">
        <v>51254.511431999999</v>
      </c>
    </row>
    <row r="8" spans="5:28">
      <c r="T8" s="1">
        <v>45839</v>
      </c>
      <c r="U8" s="4">
        <v>0.33107305116495794</v>
      </c>
      <c r="W8" s="1">
        <v>45839</v>
      </c>
      <c r="X8" s="2">
        <v>134881.15760599999</v>
      </c>
      <c r="Y8" s="2">
        <v>44655.516393279991</v>
      </c>
    </row>
    <row r="9" spans="5:28">
      <c r="T9" s="1">
        <v>45870</v>
      </c>
      <c r="U9" s="4">
        <v>0.28829202768262863</v>
      </c>
      <c r="W9" s="1">
        <v>45870</v>
      </c>
      <c r="X9" s="2">
        <v>142974.02706235999</v>
      </c>
      <c r="Y9" s="2">
        <v>41218.272167758783</v>
      </c>
    </row>
    <row r="10" spans="5:28">
      <c r="T10" s="1">
        <v>45901</v>
      </c>
      <c r="U10" s="4">
        <v>0.26951954175570747</v>
      </c>
      <c r="W10" s="1">
        <v>45901</v>
      </c>
      <c r="X10" s="2">
        <v>138684.8062504892</v>
      </c>
      <c r="Y10" s="2">
        <v>37378.265429110921</v>
      </c>
    </row>
    <row r="11" spans="5:28">
      <c r="T11" s="1">
        <v>45931</v>
      </c>
      <c r="U11" s="4">
        <v>0.35804586294096041</v>
      </c>
      <c r="W11" s="1">
        <v>45931</v>
      </c>
      <c r="X11" s="2">
        <v>148392.74268802346</v>
      </c>
      <c r="Y11" s="2">
        <v>53131.407609909249</v>
      </c>
    </row>
    <row r="12" spans="5:28">
      <c r="T12" s="1">
        <v>45962</v>
      </c>
      <c r="U12" s="4">
        <v>0.43351458799691434</v>
      </c>
      <c r="W12" s="1">
        <v>45962</v>
      </c>
      <c r="X12" s="2">
        <v>160264.16210306535</v>
      </c>
      <c r="Y12" s="2">
        <v>69476.852204781069</v>
      </c>
    </row>
    <row r="13" spans="5:28">
      <c r="T13" s="1">
        <v>45992</v>
      </c>
      <c r="U13" s="4">
        <v>0.35858413918517257</v>
      </c>
      <c r="W13" s="1">
        <v>45992</v>
      </c>
      <c r="X13" s="2">
        <v>155456.23723997339</v>
      </c>
      <c r="Y13" s="2">
        <v>55744.141011661821</v>
      </c>
    </row>
    <row r="14" spans="5:28">
      <c r="T14" s="1" t="s">
        <v>18</v>
      </c>
      <c r="U14" s="4">
        <v>4.2250730751809993</v>
      </c>
      <c r="W14" s="1" t="s">
        <v>18</v>
      </c>
      <c r="X14" s="2">
        <v>1683847.8527499114</v>
      </c>
      <c r="Y14" s="2">
        <v>594812.92864850187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2026-06-19T18:26:11Z</dcterms:created>
  <dcterms:modified xsi:type="dcterms:W3CDTF">2026-06-19T21:10:27Z</dcterms:modified>
  <cp:category/>
  <cp:contentStatus/>
</cp:coreProperties>
</file>